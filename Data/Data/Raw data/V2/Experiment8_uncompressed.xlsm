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5"/>
  <workbookPr defaultThemeVersion="166925"/>
  <xr:revisionPtr revIDLastSave="22" documentId="8_{4E8839AB-3D4F-40FD-982D-9F21C0567D1F}" xr6:coauthVersionLast="47" xr6:coauthVersionMax="47" xr10:uidLastSave="{7584F168-059A-403B-ACE6-D24B1F417835}"/>
  <bookViews>
    <workbookView xWindow="0" yWindow="0" windowWidth="16384" windowHeight="8192" tabRatio="500" xr2:uid="{00000000-000D-0000-FFFF-FFFF00000000}"/>
  </bookViews>
  <sheets>
    <sheet name="V4_Exmoor_GPS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  <c r="C2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C12" i="1"/>
  <c r="D11" i="1"/>
  <c r="C11" i="1"/>
  <c r="D10" i="1"/>
  <c r="C10" i="1"/>
  <c r="D9" i="1"/>
  <c r="C9" i="1"/>
  <c r="D8" i="1"/>
  <c r="C8" i="1"/>
  <c r="D7" i="1"/>
  <c r="C7" i="1"/>
  <c r="C6" i="1"/>
  <c r="D5" i="1"/>
  <c r="C5" i="1"/>
  <c r="D4" i="1"/>
  <c r="C4" i="1"/>
  <c r="D3" i="1"/>
  <c r="C3" i="1"/>
  <c r="D2" i="1"/>
  <c r="D24" i="1" s="1"/>
</calcChain>
</file>

<file path=xl/sharedStrings.xml><?xml version="1.0" encoding="utf-8"?>
<sst xmlns="http://schemas.openxmlformats.org/spreadsheetml/2006/main" count="51" uniqueCount="51">
  <si>
    <t>Data</t>
  </si>
  <si>
    <t>Voltage</t>
  </si>
  <si>
    <t>Acc</t>
  </si>
  <si>
    <t>TFF</t>
  </si>
  <si>
    <t>Lat</t>
  </si>
  <si>
    <t>Long</t>
  </si>
  <si>
    <t>Sequence number</t>
  </si>
  <si>
    <t>Timestamp</t>
  </si>
  <si>
    <t>2d8e0b60416e6b76245ee923</t>
  </si>
  <si>
    <t>2023-04-17 11:00:47</t>
  </si>
  <si>
    <t>35160b58366e6c94a45ed223</t>
  </si>
  <si>
    <t>2023-04-05 15:39:07</t>
  </si>
  <si>
    <t>32340b5a466e6a7da45f2be3</t>
  </si>
  <si>
    <t>2023-03-25 14:57:47</t>
  </si>
  <si>
    <t>017a0b5a2a6e6b71245eb443</t>
  </si>
  <si>
    <t>2023-03-21 11:09:49</t>
  </si>
  <si>
    <t>39fa0b5879</t>
  </si>
  <si>
    <t>2023-03-11 15:22:20</t>
  </si>
  <si>
    <t>2e140b5a376e6c04a45ebae3</t>
  </si>
  <si>
    <t>2023-03-05 11:13:53</t>
  </si>
  <si>
    <t>31940b56336e6bee245ec323</t>
  </si>
  <si>
    <t>2023-02-24 15:10:49</t>
  </si>
  <si>
    <t>2f960b56456e6c1a245ed583</t>
  </si>
  <si>
    <t>2023-02-15 07:16:13</t>
  </si>
  <si>
    <t>015d0b56546e6c85a45edb23</t>
  </si>
  <si>
    <t>28/01/2023 23:06</t>
  </si>
  <si>
    <t>01a30b58336e6be1245ef223</t>
  </si>
  <si>
    <t>17/01/2023 22:41</t>
  </si>
  <si>
    <t>26590b5608</t>
  </si>
  <si>
    <t>24/12/2022 07:02</t>
  </si>
  <si>
    <t>023e0b664a6e6c56a45ec323</t>
  </si>
  <si>
    <t>19/12/2022 14:58</t>
  </si>
  <si>
    <t>2c0c0b87386e6bc4a45f1003</t>
  </si>
  <si>
    <t>18/12/2022 14:51</t>
  </si>
  <si>
    <t>39030bd2546e6bfaa45ef183</t>
  </si>
  <si>
    <t>16/12/2022 14:37</t>
  </si>
  <si>
    <t>30d10bf1346e6bfaa45eaf03</t>
  </si>
  <si>
    <t>15/12/2022 14:32</t>
  </si>
  <si>
    <t>32e00c86396e6c4ea45ee363</t>
  </si>
  <si>
    <t>11/12/2022 14:05</t>
  </si>
  <si>
    <t>2eab0d31226e6bdda45ebaa3</t>
  </si>
  <si>
    <t>07/12/2022 13:41</t>
  </si>
  <si>
    <t>3f3f0d54376e6c13a45f05c3</t>
  </si>
  <si>
    <t>06/12/2022 13:37</t>
  </si>
  <si>
    <t>0d5a</t>
  </si>
  <si>
    <t>04/12/2022 13:33</t>
  </si>
  <si>
    <t>0d5d</t>
  </si>
  <si>
    <t>03/12/2022 13:30</t>
  </si>
  <si>
    <t>0d5f</t>
  </si>
  <si>
    <t>02/12/2022 13:28</t>
  </si>
  <si>
    <t>Average TTF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</si>
</sst>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name val="Arial"/>
      <family val="2"/>
    </font>
    <font>
      <sz val="10"/>
      <name val="Times New Roman"/>
      <family val="1"/>
    </font>
    <font>
      <sz val="11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right"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left" wrapText="1"/>
    </xf>
    <xf numFmtId="49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9"/>
  <sheetViews>
    <sheetView tabSelected="1" zoomScale="110" zoomScaleNormal="110" workbookViewId="0">
      <selection activeCell="G34" sqref="G34"/>
    </sheetView>
  </sheetViews>
  <sheetFormatPr defaultColWidth="11.5703125" defaultRowHeight="12.75"/>
  <cols>
    <col min="1" max="1" width="29" customWidth="1"/>
    <col min="2" max="2" width="10.140625" customWidth="1"/>
    <col min="4" max="4" width="9.42578125" customWidth="1"/>
    <col min="5" max="5" width="11.85546875" customWidth="1"/>
    <col min="6" max="6" width="10.7109375" customWidth="1"/>
    <col min="7" max="7" width="18.140625" customWidth="1"/>
    <col min="8" max="8" width="23.5703125" customWidth="1"/>
  </cols>
  <sheetData>
    <row r="1" spans="1:10" ht="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/>
      <c r="J1" s="5"/>
    </row>
    <row r="2" spans="1:10" ht="15">
      <c r="A2" s="4" t="s">
        <v>8</v>
      </c>
      <c r="B2" s="4">
        <f>HEX2DEC(MID(A2,5,4))</f>
        <v>2912</v>
      </c>
      <c r="C2" s="4">
        <f>HEX2DEC(LEFT(A2,4))</f>
        <v>11662</v>
      </c>
      <c r="D2" s="4">
        <f>HEX2DEC(MID(A2,9,2))</f>
        <v>65</v>
      </c>
      <c r="E2" s="6">
        <v>54.729399999999998</v>
      </c>
      <c r="F2" s="6">
        <v>10.68745</v>
      </c>
      <c r="G2" s="4">
        <v>2081</v>
      </c>
      <c r="H2" s="7" t="s">
        <v>9</v>
      </c>
      <c r="I2" s="4"/>
      <c r="J2" s="5"/>
    </row>
    <row r="3" spans="1:10" ht="15">
      <c r="A3" s="4" t="s">
        <v>10</v>
      </c>
      <c r="B3" s="4">
        <f t="shared" ref="B3:B19" si="0">HEX2DEC(MID(A3,5,4))</f>
        <v>2904</v>
      </c>
      <c r="C3" s="4">
        <f>HEX2DEC(LEFT(A3,4))</f>
        <v>13590</v>
      </c>
      <c r="D3" s="4">
        <f>HEX2DEC(MID(A3,9,2))</f>
        <v>54</v>
      </c>
      <c r="E3" s="6">
        <v>54.735129999999998</v>
      </c>
      <c r="F3" s="6">
        <v>10.68561</v>
      </c>
      <c r="G3" s="4">
        <v>2077</v>
      </c>
      <c r="H3" s="7" t="s">
        <v>11</v>
      </c>
      <c r="I3" s="4"/>
      <c r="J3" s="5"/>
    </row>
    <row r="4" spans="1:10" ht="15">
      <c r="A4" s="4" t="s">
        <v>12</v>
      </c>
      <c r="B4" s="4">
        <f t="shared" si="0"/>
        <v>2906</v>
      </c>
      <c r="C4" s="4">
        <f>HEX2DEC(LEFT(A4,4))</f>
        <v>12852</v>
      </c>
      <c r="D4" s="4">
        <f>HEX2DEC(MID(A4,9,2))</f>
        <v>70</v>
      </c>
      <c r="E4" s="6">
        <v>54.724429999999998</v>
      </c>
      <c r="F4" s="6">
        <v>10.69279</v>
      </c>
      <c r="G4" s="4">
        <v>2074</v>
      </c>
      <c r="H4" s="7" t="s">
        <v>13</v>
      </c>
      <c r="I4" s="4"/>
      <c r="J4" s="5"/>
    </row>
    <row r="5" spans="1:10" ht="15">
      <c r="A5" s="4" t="s">
        <v>14</v>
      </c>
      <c r="B5" s="4">
        <f t="shared" si="0"/>
        <v>2906</v>
      </c>
      <c r="C5" s="4">
        <f>HEX2DEC(LEFT(A5,4))</f>
        <v>378</v>
      </c>
      <c r="D5" s="4">
        <f>HEX2DEC(MID(A5,9,2))</f>
        <v>42</v>
      </c>
      <c r="E5" s="6">
        <v>54.729300000000002</v>
      </c>
      <c r="F5" s="6">
        <v>10.68322</v>
      </c>
      <c r="G5" s="4">
        <v>2073</v>
      </c>
      <c r="H5" s="7" t="s">
        <v>15</v>
      </c>
      <c r="I5" s="4"/>
      <c r="J5" s="5"/>
    </row>
    <row r="6" spans="1:10" ht="15">
      <c r="A6" s="4" t="s">
        <v>16</v>
      </c>
      <c r="B6" s="4">
        <f t="shared" si="0"/>
        <v>2904</v>
      </c>
      <c r="C6" s="4">
        <f>HEX2DEC(LEFT(A6,4))</f>
        <v>14842</v>
      </c>
      <c r="D6" s="4"/>
      <c r="E6" s="4"/>
      <c r="F6" s="4"/>
      <c r="G6" s="4">
        <v>2072</v>
      </c>
      <c r="H6" s="7" t="s">
        <v>17</v>
      </c>
      <c r="I6" s="4"/>
      <c r="J6" s="5"/>
    </row>
    <row r="7" spans="1:10" ht="15">
      <c r="A7" s="4" t="s">
        <v>18</v>
      </c>
      <c r="B7" s="4">
        <f t="shared" si="0"/>
        <v>2906</v>
      </c>
      <c r="C7" s="4">
        <f>HEX2DEC(LEFT(A7,4))</f>
        <v>11796</v>
      </c>
      <c r="D7" s="4">
        <f>HEX2DEC(MID(A7,9,2))</f>
        <v>55</v>
      </c>
      <c r="E7" s="6">
        <v>54.732250000000001</v>
      </c>
      <c r="F7" s="6">
        <v>10.68375</v>
      </c>
      <c r="G7" s="4">
        <v>2071</v>
      </c>
      <c r="H7" s="7" t="s">
        <v>19</v>
      </c>
      <c r="I7" s="4"/>
      <c r="J7" s="5"/>
    </row>
    <row r="8" spans="1:10" ht="15">
      <c r="A8" s="4" t="s">
        <v>20</v>
      </c>
      <c r="B8" s="4">
        <f t="shared" si="0"/>
        <v>2902</v>
      </c>
      <c r="C8" s="4">
        <f>HEX2DEC(LEFT(A8,4))</f>
        <v>12692</v>
      </c>
      <c r="D8" s="4">
        <f>HEX2DEC(MID(A8,9,2))</f>
        <v>51</v>
      </c>
      <c r="E8" s="6">
        <v>54.7318</v>
      </c>
      <c r="F8" s="6">
        <v>10.68441</v>
      </c>
      <c r="G8" s="4">
        <v>2070</v>
      </c>
      <c r="H8" s="7" t="s">
        <v>21</v>
      </c>
      <c r="I8" s="4"/>
      <c r="J8" s="5"/>
    </row>
    <row r="9" spans="1:10" ht="15">
      <c r="A9" s="4" t="s">
        <v>22</v>
      </c>
      <c r="B9" s="4">
        <f t="shared" si="0"/>
        <v>2902</v>
      </c>
      <c r="C9" s="4">
        <f>HEX2DEC(LEFT(A9,4))</f>
        <v>12182</v>
      </c>
      <c r="D9" s="4">
        <f>HEX2DEC(MID(A9,9,2))</f>
        <v>69</v>
      </c>
      <c r="E9" s="6">
        <v>54.732680000000002</v>
      </c>
      <c r="F9" s="6">
        <v>10.685879999999999</v>
      </c>
      <c r="G9" s="4">
        <v>2069</v>
      </c>
      <c r="H9" s="7" t="s">
        <v>23</v>
      </c>
      <c r="I9" s="4"/>
      <c r="J9" s="5"/>
    </row>
    <row r="10" spans="1:10" ht="15">
      <c r="A10" s="4" t="s">
        <v>24</v>
      </c>
      <c r="B10" s="4">
        <f t="shared" si="0"/>
        <v>2902</v>
      </c>
      <c r="C10" s="4">
        <f>HEX2DEC(LEFT(A10,4))</f>
        <v>349</v>
      </c>
      <c r="D10" s="4">
        <f>HEX2DEC(MID(A10,9,2))</f>
        <v>84</v>
      </c>
      <c r="E10" s="6">
        <v>54.732550000000003</v>
      </c>
      <c r="F10" s="6">
        <v>10.68974</v>
      </c>
      <c r="G10" s="4">
        <v>2068</v>
      </c>
      <c r="H10" s="4" t="s">
        <v>25</v>
      </c>
      <c r="I10" s="4"/>
      <c r="J10" s="5"/>
    </row>
    <row r="11" spans="1:10" ht="15">
      <c r="A11" s="4" t="s">
        <v>26</v>
      </c>
      <c r="B11" s="4">
        <f t="shared" si="0"/>
        <v>2904</v>
      </c>
      <c r="C11" s="4">
        <f>HEX2DEC(LEFT(A11,4))</f>
        <v>419</v>
      </c>
      <c r="D11" s="4">
        <f>HEX2DEC(MID(A11,9,2))</f>
        <v>51</v>
      </c>
      <c r="E11" s="6">
        <v>54.731470000000002</v>
      </c>
      <c r="F11" s="6">
        <v>10.683730000000001</v>
      </c>
      <c r="G11" s="4">
        <v>2067</v>
      </c>
      <c r="H11" s="4" t="s">
        <v>27</v>
      </c>
      <c r="I11" s="4"/>
      <c r="J11" s="5"/>
    </row>
    <row r="12" spans="1:10" ht="15">
      <c r="A12" s="4" t="s">
        <v>28</v>
      </c>
      <c r="B12" s="4">
        <f t="shared" si="0"/>
        <v>2902</v>
      </c>
      <c r="C12" s="4">
        <f>HEX2DEC(LEFT(A12,4))</f>
        <v>9817</v>
      </c>
      <c r="D12" s="4"/>
      <c r="E12" s="4"/>
      <c r="F12" s="4"/>
      <c r="G12" s="4">
        <v>2066</v>
      </c>
      <c r="H12" s="4" t="s">
        <v>29</v>
      </c>
      <c r="I12" s="4"/>
      <c r="J12" s="5"/>
    </row>
    <row r="13" spans="1:10" ht="15">
      <c r="A13" s="4" t="s">
        <v>30</v>
      </c>
      <c r="B13" s="4">
        <f t="shared" si="0"/>
        <v>2918</v>
      </c>
      <c r="C13" s="4">
        <f>HEX2DEC(LEFT(A13,4))</f>
        <v>574</v>
      </c>
      <c r="D13" s="4">
        <f>HEX2DEC(MID(A13,9,2))</f>
        <v>74</v>
      </c>
      <c r="E13" s="6">
        <v>54.733730000000001</v>
      </c>
      <c r="F13" s="6">
        <v>10.68699</v>
      </c>
      <c r="G13" s="4">
        <v>2065</v>
      </c>
      <c r="H13" s="4" t="s">
        <v>31</v>
      </c>
      <c r="I13" s="4"/>
      <c r="J13" s="5"/>
    </row>
    <row r="14" spans="1:10" ht="15">
      <c r="A14" s="4" t="s">
        <v>32</v>
      </c>
      <c r="B14" s="4">
        <f t="shared" si="0"/>
        <v>2951</v>
      </c>
      <c r="C14" s="4">
        <f>HEX2DEC(LEFT(A14,4))</f>
        <v>11276</v>
      </c>
      <c r="D14" s="4">
        <f>HEX2DEC(MID(A14,9,2))</f>
        <v>56</v>
      </c>
      <c r="E14" s="6">
        <v>54.732050000000001</v>
      </c>
      <c r="F14" s="6">
        <v>10.6828</v>
      </c>
      <c r="G14" s="4">
        <v>2064</v>
      </c>
      <c r="H14" s="4" t="s">
        <v>33</v>
      </c>
      <c r="I14" s="4"/>
      <c r="J14" s="5"/>
    </row>
    <row r="15" spans="1:10" ht="15">
      <c r="A15" s="4" t="s">
        <v>34</v>
      </c>
      <c r="B15" s="4">
        <f t="shared" si="0"/>
        <v>3026</v>
      </c>
      <c r="C15" s="4">
        <f>HEX2DEC(LEFT(A15,4))</f>
        <v>14595</v>
      </c>
      <c r="D15" s="4">
        <f>HEX2DEC(MID(A15,9,2))</f>
        <v>84</v>
      </c>
      <c r="E15" s="6">
        <v>54.732050000000001</v>
      </c>
      <c r="F15" s="6">
        <v>10.68812</v>
      </c>
      <c r="G15" s="4">
        <v>2062</v>
      </c>
      <c r="H15" s="4" t="s">
        <v>35</v>
      </c>
      <c r="I15" s="4"/>
      <c r="J15" s="5"/>
    </row>
    <row r="16" spans="1:10" ht="15">
      <c r="A16" s="4" t="s">
        <v>36</v>
      </c>
      <c r="B16" s="4">
        <f t="shared" si="0"/>
        <v>3057</v>
      </c>
      <c r="C16" s="4">
        <f>HEX2DEC(LEFT(A16,4))</f>
        <v>12497</v>
      </c>
      <c r="D16" s="4">
        <f>HEX2DEC(MID(A16,9,2))</f>
        <v>52</v>
      </c>
      <c r="E16" s="6">
        <v>54.730969999999999</v>
      </c>
      <c r="F16" s="6">
        <v>10.69056</v>
      </c>
      <c r="G16" s="4">
        <v>2061</v>
      </c>
      <c r="H16" s="4" t="s">
        <v>37</v>
      </c>
      <c r="I16" s="4"/>
      <c r="J16" s="5"/>
    </row>
    <row r="17" spans="1:10" ht="15">
      <c r="A17" s="4" t="s">
        <v>38</v>
      </c>
      <c r="B17" s="4">
        <f t="shared" si="0"/>
        <v>3206</v>
      </c>
      <c r="C17" s="4">
        <f>HEX2DEC(LEFT(A17,4))</f>
        <v>13024</v>
      </c>
      <c r="D17" s="4">
        <f>HEX2DEC(MID(A17,9,2))</f>
        <v>57</v>
      </c>
      <c r="E17" s="6">
        <v>54.733890000000002</v>
      </c>
      <c r="F17" s="6">
        <v>10.68441</v>
      </c>
      <c r="G17" s="4">
        <v>2057</v>
      </c>
      <c r="H17" s="7" t="s">
        <v>39</v>
      </c>
      <c r="I17" s="4"/>
      <c r="J17" s="5"/>
    </row>
    <row r="18" spans="1:10" ht="15">
      <c r="A18" s="4" t="s">
        <v>40</v>
      </c>
      <c r="B18" s="4">
        <f t="shared" si="0"/>
        <v>3377</v>
      </c>
      <c r="C18" s="4">
        <f>HEX2DEC(LEFT(A18,4))</f>
        <v>11947</v>
      </c>
      <c r="D18" s="4">
        <f>HEX2DEC(MID(A18,9,2))</f>
        <v>34</v>
      </c>
      <c r="E18" s="6">
        <v>54.731540000000003</v>
      </c>
      <c r="F18" s="6">
        <v>10.68817</v>
      </c>
      <c r="G18" s="4">
        <v>2053</v>
      </c>
      <c r="H18" s="7" t="s">
        <v>41</v>
      </c>
      <c r="I18" s="4"/>
      <c r="J18" s="5"/>
    </row>
    <row r="19" spans="1:10" ht="15">
      <c r="A19" s="4" t="s">
        <v>42</v>
      </c>
      <c r="B19" s="4">
        <f t="shared" si="0"/>
        <v>3412</v>
      </c>
      <c r="C19" s="4">
        <f>HEX2DEC(LEFT(A19,4))</f>
        <v>16191</v>
      </c>
      <c r="D19" s="4">
        <f>HEX2DEC(MID(A19,9,2))</f>
        <v>55</v>
      </c>
      <c r="E19" s="6">
        <v>54.734830000000002</v>
      </c>
      <c r="F19" s="6">
        <v>10.68633</v>
      </c>
      <c r="G19" s="4">
        <v>2052</v>
      </c>
      <c r="H19" s="7" t="s">
        <v>43</v>
      </c>
      <c r="I19" s="4"/>
      <c r="J19" s="5"/>
    </row>
    <row r="20" spans="1:10" ht="15">
      <c r="A20" s="4" t="s">
        <v>44</v>
      </c>
      <c r="B20" s="4"/>
      <c r="C20" s="4"/>
      <c r="D20" s="4"/>
      <c r="E20" s="4"/>
      <c r="F20" s="4"/>
      <c r="G20" s="4">
        <v>2050</v>
      </c>
      <c r="H20" s="7" t="s">
        <v>45</v>
      </c>
      <c r="I20" s="4"/>
      <c r="J20" s="5"/>
    </row>
    <row r="21" spans="1:10" ht="15">
      <c r="A21" s="4" t="s">
        <v>46</v>
      </c>
      <c r="B21" s="4"/>
      <c r="C21" s="4"/>
      <c r="D21" s="4"/>
      <c r="E21" s="4"/>
      <c r="F21" s="4"/>
      <c r="G21" s="4">
        <v>2049</v>
      </c>
      <c r="H21" s="7" t="s">
        <v>47</v>
      </c>
      <c r="I21" s="4"/>
      <c r="J21" s="5"/>
    </row>
    <row r="22" spans="1:10" ht="15">
      <c r="A22" s="4" t="s">
        <v>48</v>
      </c>
      <c r="B22" s="4"/>
      <c r="C22" s="4"/>
      <c r="D22" s="4"/>
      <c r="E22" s="4"/>
      <c r="F22" s="4"/>
      <c r="G22" s="4">
        <v>2048</v>
      </c>
      <c r="H22" s="7" t="s">
        <v>49</v>
      </c>
      <c r="I22" s="4"/>
      <c r="J22" s="5"/>
    </row>
    <row r="23" spans="1:10" ht="15">
      <c r="A23" s="4"/>
      <c r="B23" s="4"/>
      <c r="C23" s="4"/>
      <c r="D23" s="4"/>
      <c r="E23" s="4"/>
      <c r="F23" s="4"/>
      <c r="G23" s="4"/>
      <c r="H23" s="4"/>
      <c r="I23" s="4"/>
      <c r="J23" s="5"/>
    </row>
    <row r="24" spans="1:10" ht="15">
      <c r="A24" s="4"/>
      <c r="B24" s="4"/>
      <c r="C24" s="4" t="s">
        <v>50</v>
      </c>
      <c r="D24" s="8">
        <f>AVERAGE(D2:D19)</f>
        <v>59.5625</v>
      </c>
      <c r="E24" s="4"/>
      <c r="F24" s="4"/>
      <c r="G24" s="4"/>
      <c r="H24" s="4"/>
      <c r="I24" s="4"/>
      <c r="J24" s="5"/>
    </row>
    <row r="25" spans="1:10" ht="15">
      <c r="A25" s="4"/>
      <c r="B25" s="4"/>
      <c r="C25" s="4"/>
      <c r="D25" s="4"/>
      <c r="E25" s="4"/>
      <c r="F25" s="4"/>
      <c r="G25" s="4"/>
      <c r="H25" s="4"/>
      <c r="I25" s="4"/>
      <c r="J25" s="5"/>
    </row>
    <row r="26" spans="1:10">
      <c r="A26" s="3"/>
      <c r="B26" s="3"/>
      <c r="C26" s="3"/>
      <c r="D26" s="3"/>
      <c r="E26" s="3"/>
      <c r="F26" s="3"/>
      <c r="G26" s="3"/>
      <c r="H26" s="3"/>
      <c r="I26" s="3"/>
    </row>
    <row r="33" spans="3:4">
      <c r="C33" s="2"/>
      <c r="D33" s="2"/>
    </row>
    <row r="34" spans="3:4">
      <c r="C34" s="1"/>
      <c r="D34" s="1"/>
    </row>
    <row r="35" spans="3:4">
      <c r="C35" s="1"/>
      <c r="D35" s="1"/>
    </row>
    <row r="36" spans="3:4">
      <c r="C36" s="1"/>
      <c r="D36" s="1"/>
    </row>
    <row r="37" spans="3:4">
      <c r="C37" s="1"/>
      <c r="D37" s="1"/>
    </row>
    <row r="38" spans="3:4">
      <c r="C38" s="1"/>
      <c r="D38" s="1"/>
    </row>
    <row r="39" spans="3:4">
      <c r="C39" s="1"/>
      <c r="D39" s="1"/>
    </row>
    <row r="40" spans="3:4">
      <c r="C40" s="1"/>
      <c r="D40" s="1"/>
    </row>
    <row r="41" spans="3:4">
      <c r="C41" s="1"/>
      <c r="D41" s="1"/>
    </row>
    <row r="42" spans="3:4">
      <c r="C42" s="1"/>
      <c r="D42" s="1"/>
    </row>
    <row r="43" spans="3:4">
      <c r="C43" s="1"/>
      <c r="D43" s="1"/>
    </row>
    <row r="44" spans="3:4">
      <c r="C44" s="1"/>
      <c r="D44" s="1"/>
    </row>
    <row r="45" spans="3:4">
      <c r="C45" s="1"/>
      <c r="D45" s="1"/>
    </row>
    <row r="46" spans="3:4">
      <c r="C46" s="1"/>
      <c r="D46" s="1"/>
    </row>
    <row r="47" spans="3:4">
      <c r="C47" s="1"/>
      <c r="D47" s="1"/>
    </row>
    <row r="48" spans="3:4">
      <c r="C48" s="1"/>
      <c r="D48" s="1"/>
    </row>
    <row r="49" spans="3:4">
      <c r="C49" s="1"/>
      <c r="D49" s="1"/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troelsgregersen</cp:lastModifiedBy>
  <cp:revision>3</cp:revision>
  <dcterms:created xsi:type="dcterms:W3CDTF">2023-04-21T11:29:11Z</dcterms:created>
  <dcterms:modified xsi:type="dcterms:W3CDTF">2023-04-26T07:42:14Z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gId">
    <vt:lpwstr>Excel.Sheet</vt:lpwstr>
  </property>
</Properties>
</file>